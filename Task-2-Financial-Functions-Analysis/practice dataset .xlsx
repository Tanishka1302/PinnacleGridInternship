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j Kumar Jain\Downloads\"/>
    </mc:Choice>
  </mc:AlternateContent>
  <xr:revisionPtr revIDLastSave="0" documentId="8_{A3B0F05E-56AA-4AD8-A3E5-13B803E6A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Functions" sheetId="1" r:id="rId1"/>
    <sheet name="Statistical Data" sheetId="2" r:id="rId2"/>
  </sheets>
  <calcPr calcId="191029"/>
</workbook>
</file>

<file path=xl/calcChain.xml><?xml version="1.0" encoding="utf-8"?>
<calcChain xmlns="http://schemas.openxmlformats.org/spreadsheetml/2006/main">
  <c r="N2" i="1" l="1"/>
  <c r="L2" i="1"/>
  <c r="J2" i="1"/>
  <c r="H2" i="1"/>
  <c r="F2" i="1"/>
  <c r="D2" i="1"/>
</calcChain>
</file>

<file path=xl/sharedStrings.xml><?xml version="1.0" encoding="utf-8"?>
<sst xmlns="http://schemas.openxmlformats.org/spreadsheetml/2006/main" count="62" uniqueCount="16">
  <si>
    <t>Year</t>
  </si>
  <si>
    <t>Cash Flow</t>
  </si>
  <si>
    <t>Region</t>
  </si>
  <si>
    <t>Sales</t>
  </si>
  <si>
    <t>Profit</t>
  </si>
  <si>
    <t>Units Sold</t>
  </si>
  <si>
    <t>West</t>
  </si>
  <si>
    <t>North</t>
  </si>
  <si>
    <t>East</t>
  </si>
  <si>
    <t>South</t>
  </si>
  <si>
    <t>NPV</t>
  </si>
  <si>
    <t>Total Investment</t>
  </si>
  <si>
    <t>Total returns</t>
  </si>
  <si>
    <t>Net profit</t>
  </si>
  <si>
    <t>ROI</t>
  </si>
  <si>
    <t>Payback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</si>
</sst>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2" sqref="B2"/>
    </sheetView>
  </sheetViews>
  <sheetFormatPr defaultRowHeight="14.4" x14ac:dyDescent="0.3"/>
  <cols>
    <col min="4" max="4" width="20.21875" bestFit="1" customWidth="1"/>
    <col min="12" max="12" width="10" bestFit="1" customWidth="1"/>
  </cols>
  <sheetData>
    <row r="1" spans="1:14" ht="43.2" x14ac:dyDescent="0.3">
      <c r="A1" s="1" t="s">
        <v>0</v>
      </c>
      <c r="B1" s="1" t="s">
        <v>1</v>
      </c>
      <c r="D1" s="4" t="s">
        <v>10</v>
      </c>
      <c r="F1" s="5" t="s">
        <v>11</v>
      </c>
      <c r="H1" s="5" t="s">
        <v>12</v>
      </c>
      <c r="J1" s="4" t="s">
        <v>13</v>
      </c>
      <c r="L1" s="4" t="s">
        <v>14</v>
      </c>
      <c r="N1" s="5" t="s">
        <v>15</v>
      </c>
    </row>
    <row r="2" spans="1:14" x14ac:dyDescent="0.3">
      <c r="A2">
        <v>0</v>
      </c>
      <c r="B2">
        <v>-5000</v>
      </c>
      <c r="D2" s="3">
        <f>NPV(10%,B3:B7)+B2</f>
        <v>3251.7994920863566</v>
      </c>
      <c r="F2">
        <f>ABS(B2)</f>
        <v>5000</v>
      </c>
      <c r="H2">
        <f>SUM(B3:B7)</f>
        <v>10869</v>
      </c>
      <c r="J2">
        <f>H2-F2</f>
        <v>5869</v>
      </c>
      <c r="L2" s="2">
        <f>(J2/F2)*100</f>
        <v>117.38</v>
      </c>
      <c r="N2">
        <f>F2/AVERAGE(B3:B7)</f>
        <v>2.300119606219523</v>
      </c>
    </row>
    <row r="3" spans="1:14" x14ac:dyDescent="0.3">
      <c r="A3">
        <v>1</v>
      </c>
      <c r="B3">
        <v>2126</v>
      </c>
    </row>
    <row r="4" spans="1:14" x14ac:dyDescent="0.3">
      <c r="A4">
        <v>2</v>
      </c>
      <c r="B4">
        <v>2459</v>
      </c>
    </row>
    <row r="5" spans="1:14" x14ac:dyDescent="0.3">
      <c r="A5">
        <v>3</v>
      </c>
      <c r="B5">
        <v>1860</v>
      </c>
    </row>
    <row r="6" spans="1:14" x14ac:dyDescent="0.3">
      <c r="A6">
        <v>4</v>
      </c>
      <c r="B6">
        <v>2294</v>
      </c>
    </row>
    <row r="7" spans="1:14" x14ac:dyDescent="0.3">
      <c r="A7">
        <v>5</v>
      </c>
      <c r="B7">
        <v>2130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 t="s">
        <v>6</v>
      </c>
      <c r="B2">
        <v>2267</v>
      </c>
      <c r="C2">
        <v>152</v>
      </c>
      <c r="D2">
        <v>79</v>
      </c>
    </row>
    <row r="3" spans="1:4" x14ac:dyDescent="0.3">
      <c r="A3" t="s">
        <v>7</v>
      </c>
      <c r="B3">
        <v>2528</v>
      </c>
      <c r="C3">
        <v>1027</v>
      </c>
      <c r="D3">
        <v>15</v>
      </c>
    </row>
    <row r="4" spans="1:4" x14ac:dyDescent="0.3">
      <c r="A4" t="s">
        <v>7</v>
      </c>
      <c r="B4">
        <v>4556</v>
      </c>
      <c r="C4">
        <v>1695</v>
      </c>
      <c r="D4">
        <v>90</v>
      </c>
    </row>
    <row r="5" spans="1:4" x14ac:dyDescent="0.3">
      <c r="A5" t="s">
        <v>8</v>
      </c>
      <c r="B5">
        <v>4890</v>
      </c>
      <c r="C5">
        <v>495</v>
      </c>
      <c r="D5">
        <v>42</v>
      </c>
    </row>
    <row r="6" spans="1:4" x14ac:dyDescent="0.3">
      <c r="A6" t="s">
        <v>9</v>
      </c>
      <c r="B6">
        <v>9838</v>
      </c>
      <c r="C6">
        <v>2134</v>
      </c>
      <c r="D6">
        <v>77</v>
      </c>
    </row>
    <row r="7" spans="1:4" x14ac:dyDescent="0.3">
      <c r="A7" t="s">
        <v>8</v>
      </c>
      <c r="B7">
        <v>6393</v>
      </c>
      <c r="C7">
        <v>162</v>
      </c>
      <c r="D7">
        <v>51</v>
      </c>
    </row>
    <row r="8" spans="1:4" x14ac:dyDescent="0.3">
      <c r="A8" t="s">
        <v>8</v>
      </c>
      <c r="B8">
        <v>9792</v>
      </c>
      <c r="C8">
        <v>522</v>
      </c>
      <c r="D8">
        <v>63</v>
      </c>
    </row>
    <row r="9" spans="1:4" x14ac:dyDescent="0.3">
      <c r="A9" t="s">
        <v>8</v>
      </c>
      <c r="B9">
        <v>9433</v>
      </c>
      <c r="C9">
        <v>1640</v>
      </c>
      <c r="D9">
        <v>96</v>
      </c>
    </row>
    <row r="10" spans="1:4" x14ac:dyDescent="0.3">
      <c r="A10" t="s">
        <v>8</v>
      </c>
      <c r="B10">
        <v>8513</v>
      </c>
      <c r="C10">
        <v>-609</v>
      </c>
      <c r="D10">
        <v>52</v>
      </c>
    </row>
    <row r="11" spans="1:4" x14ac:dyDescent="0.3">
      <c r="A11" t="s">
        <v>6</v>
      </c>
      <c r="B11">
        <v>3612</v>
      </c>
      <c r="C11">
        <v>698</v>
      </c>
      <c r="D11">
        <v>96</v>
      </c>
    </row>
    <row r="12" spans="1:4" x14ac:dyDescent="0.3">
      <c r="A12" t="s">
        <v>7</v>
      </c>
      <c r="B12">
        <v>8041</v>
      </c>
      <c r="C12">
        <v>-582</v>
      </c>
      <c r="D12">
        <v>4</v>
      </c>
    </row>
    <row r="13" spans="1:4" x14ac:dyDescent="0.3">
      <c r="A13" t="s">
        <v>6</v>
      </c>
      <c r="B13">
        <v>7235</v>
      </c>
      <c r="C13">
        <v>1336</v>
      </c>
      <c r="D13">
        <v>94</v>
      </c>
    </row>
    <row r="14" spans="1:4" x14ac:dyDescent="0.3">
      <c r="A14" t="s">
        <v>6</v>
      </c>
      <c r="B14">
        <v>6486</v>
      </c>
      <c r="C14">
        <v>-622</v>
      </c>
      <c r="D14">
        <v>23</v>
      </c>
    </row>
    <row r="15" spans="1:4" x14ac:dyDescent="0.3">
      <c r="A15" t="s">
        <v>6</v>
      </c>
      <c r="B15">
        <v>8099</v>
      </c>
      <c r="C15">
        <v>796</v>
      </c>
      <c r="D15">
        <v>15</v>
      </c>
    </row>
    <row r="16" spans="1:4" x14ac:dyDescent="0.3">
      <c r="A16" t="s">
        <v>8</v>
      </c>
      <c r="B16">
        <v>1775</v>
      </c>
      <c r="C16">
        <v>2561</v>
      </c>
      <c r="D16">
        <v>43</v>
      </c>
    </row>
    <row r="17" spans="1:4" x14ac:dyDescent="0.3">
      <c r="A17" t="s">
        <v>9</v>
      </c>
      <c r="B17">
        <v>9226</v>
      </c>
      <c r="C17">
        <v>1278</v>
      </c>
      <c r="D17">
        <v>29</v>
      </c>
    </row>
    <row r="18" spans="1:4" x14ac:dyDescent="0.3">
      <c r="A18" t="s">
        <v>7</v>
      </c>
      <c r="B18">
        <v>4152</v>
      </c>
      <c r="C18">
        <v>2065</v>
      </c>
      <c r="D18">
        <v>36</v>
      </c>
    </row>
    <row r="19" spans="1:4" x14ac:dyDescent="0.3">
      <c r="A19" t="s">
        <v>9</v>
      </c>
      <c r="B19">
        <v>2585</v>
      </c>
      <c r="C19">
        <v>1088</v>
      </c>
      <c r="D19">
        <v>13</v>
      </c>
    </row>
    <row r="20" spans="1:4" x14ac:dyDescent="0.3">
      <c r="A20" t="s">
        <v>6</v>
      </c>
      <c r="B20">
        <v>4943</v>
      </c>
      <c r="C20">
        <v>2099</v>
      </c>
      <c r="D20">
        <v>32</v>
      </c>
    </row>
    <row r="21" spans="1:4" x14ac:dyDescent="0.3">
      <c r="A21" t="s">
        <v>6</v>
      </c>
      <c r="B21">
        <v>8555</v>
      </c>
      <c r="C21">
        <v>1182</v>
      </c>
      <c r="D21">
        <v>71</v>
      </c>
    </row>
    <row r="22" spans="1:4" x14ac:dyDescent="0.3">
      <c r="A22" t="s">
        <v>9</v>
      </c>
      <c r="B22">
        <v>4073</v>
      </c>
      <c r="C22">
        <v>-800</v>
      </c>
      <c r="D22">
        <v>59</v>
      </c>
    </row>
    <row r="23" spans="1:4" x14ac:dyDescent="0.3">
      <c r="A23" t="s">
        <v>9</v>
      </c>
      <c r="B23">
        <v>2021</v>
      </c>
      <c r="C23">
        <v>863</v>
      </c>
      <c r="D23">
        <v>86</v>
      </c>
    </row>
    <row r="24" spans="1:4" x14ac:dyDescent="0.3">
      <c r="A24" t="s">
        <v>9</v>
      </c>
      <c r="B24">
        <v>4843</v>
      </c>
      <c r="C24">
        <v>-221</v>
      </c>
      <c r="D24">
        <v>28</v>
      </c>
    </row>
    <row r="25" spans="1:4" x14ac:dyDescent="0.3">
      <c r="A25" t="s">
        <v>6</v>
      </c>
      <c r="B25">
        <v>8989</v>
      </c>
      <c r="C25">
        <v>1977</v>
      </c>
      <c r="D25">
        <v>66</v>
      </c>
    </row>
    <row r="26" spans="1:4" x14ac:dyDescent="0.3">
      <c r="A26" t="s">
        <v>6</v>
      </c>
      <c r="B26">
        <v>7873</v>
      </c>
      <c r="C26">
        <v>2104</v>
      </c>
      <c r="D26">
        <v>42</v>
      </c>
    </row>
    <row r="27" spans="1:4" x14ac:dyDescent="0.3">
      <c r="A27" t="s">
        <v>7</v>
      </c>
      <c r="B27">
        <v>6675</v>
      </c>
      <c r="C27">
        <v>2119</v>
      </c>
      <c r="D27">
        <v>45</v>
      </c>
    </row>
    <row r="28" spans="1:4" x14ac:dyDescent="0.3">
      <c r="A28" t="s">
        <v>7</v>
      </c>
      <c r="B28">
        <v>1161</v>
      </c>
      <c r="C28">
        <v>-498</v>
      </c>
      <c r="D28">
        <v>62</v>
      </c>
    </row>
    <row r="29" spans="1:4" x14ac:dyDescent="0.3">
      <c r="A29" t="s">
        <v>6</v>
      </c>
      <c r="B29">
        <v>5297</v>
      </c>
      <c r="C29">
        <v>1454</v>
      </c>
      <c r="D29">
        <v>57</v>
      </c>
    </row>
    <row r="30" spans="1:4" x14ac:dyDescent="0.3">
      <c r="A30" t="s">
        <v>9</v>
      </c>
      <c r="B30">
        <v>1995</v>
      </c>
      <c r="C30">
        <v>2645</v>
      </c>
      <c r="D30">
        <v>6</v>
      </c>
    </row>
    <row r="31" spans="1:4" x14ac:dyDescent="0.3">
      <c r="A31" t="s">
        <v>9</v>
      </c>
      <c r="B31">
        <v>8629</v>
      </c>
      <c r="C31">
        <v>751</v>
      </c>
      <c r="D31">
        <v>28</v>
      </c>
    </row>
    <row r="32" spans="1:4" x14ac:dyDescent="0.3">
      <c r="A32" t="s">
        <v>7</v>
      </c>
      <c r="B32">
        <v>2016</v>
      </c>
      <c r="C32">
        <v>-196</v>
      </c>
      <c r="D32">
        <v>28</v>
      </c>
    </row>
    <row r="33" spans="1:4" x14ac:dyDescent="0.3">
      <c r="A33" t="s">
        <v>6</v>
      </c>
      <c r="B33">
        <v>8869</v>
      </c>
      <c r="C33">
        <v>1146</v>
      </c>
      <c r="D33">
        <v>44</v>
      </c>
    </row>
    <row r="34" spans="1:4" x14ac:dyDescent="0.3">
      <c r="A34" t="s">
        <v>7</v>
      </c>
      <c r="B34">
        <v>7439</v>
      </c>
      <c r="C34">
        <v>1731</v>
      </c>
      <c r="D34">
        <v>84</v>
      </c>
    </row>
    <row r="35" spans="1:4" x14ac:dyDescent="0.3">
      <c r="A35" t="s">
        <v>7</v>
      </c>
      <c r="B35">
        <v>8892</v>
      </c>
      <c r="C35">
        <v>895</v>
      </c>
      <c r="D35">
        <v>30</v>
      </c>
    </row>
    <row r="36" spans="1:4" x14ac:dyDescent="0.3">
      <c r="A36" t="s">
        <v>8</v>
      </c>
      <c r="B36">
        <v>7863</v>
      </c>
      <c r="C36">
        <v>1773</v>
      </c>
      <c r="D36">
        <v>62</v>
      </c>
    </row>
    <row r="37" spans="1:4" x14ac:dyDescent="0.3">
      <c r="A37" t="s">
        <v>8</v>
      </c>
      <c r="B37">
        <v>8916</v>
      </c>
      <c r="C37">
        <v>570</v>
      </c>
      <c r="D37">
        <v>75</v>
      </c>
    </row>
    <row r="38" spans="1:4" x14ac:dyDescent="0.3">
      <c r="A38" t="s">
        <v>8</v>
      </c>
      <c r="B38">
        <v>9529</v>
      </c>
      <c r="C38">
        <v>-40</v>
      </c>
      <c r="D38">
        <v>92</v>
      </c>
    </row>
    <row r="39" spans="1:4" x14ac:dyDescent="0.3">
      <c r="A39" t="s">
        <v>9</v>
      </c>
      <c r="B39">
        <v>1878</v>
      </c>
      <c r="C39">
        <v>2810</v>
      </c>
      <c r="D39">
        <v>89</v>
      </c>
    </row>
    <row r="40" spans="1:4" x14ac:dyDescent="0.3">
      <c r="A40" t="s">
        <v>6</v>
      </c>
      <c r="B40">
        <v>5887</v>
      </c>
      <c r="C40">
        <v>1660</v>
      </c>
      <c r="D40">
        <v>62</v>
      </c>
    </row>
    <row r="41" spans="1:4" x14ac:dyDescent="0.3">
      <c r="A41" t="s">
        <v>6</v>
      </c>
      <c r="B41">
        <v>5859</v>
      </c>
      <c r="C41">
        <v>485</v>
      </c>
      <c r="D41">
        <v>97</v>
      </c>
    </row>
    <row r="42" spans="1:4" x14ac:dyDescent="0.3">
      <c r="A42" t="s">
        <v>6</v>
      </c>
      <c r="B42">
        <v>7331</v>
      </c>
      <c r="C42">
        <v>1690</v>
      </c>
      <c r="D42">
        <v>1</v>
      </c>
    </row>
    <row r="43" spans="1:4" x14ac:dyDescent="0.3">
      <c r="A43" t="s">
        <v>6</v>
      </c>
      <c r="B43">
        <v>9571</v>
      </c>
      <c r="C43">
        <v>2840</v>
      </c>
      <c r="D43">
        <v>27</v>
      </c>
    </row>
    <row r="44" spans="1:4" x14ac:dyDescent="0.3">
      <c r="A44" t="s">
        <v>8</v>
      </c>
      <c r="B44">
        <v>9684</v>
      </c>
      <c r="C44">
        <v>28</v>
      </c>
      <c r="D44">
        <v>62</v>
      </c>
    </row>
    <row r="45" spans="1:4" x14ac:dyDescent="0.3">
      <c r="A45" t="s">
        <v>9</v>
      </c>
      <c r="B45">
        <v>8208</v>
      </c>
      <c r="C45">
        <v>2289</v>
      </c>
      <c r="D45">
        <v>77</v>
      </c>
    </row>
    <row r="46" spans="1:4" x14ac:dyDescent="0.3">
      <c r="A46" t="s">
        <v>9</v>
      </c>
      <c r="B46">
        <v>6276</v>
      </c>
      <c r="C46">
        <v>-498</v>
      </c>
      <c r="D46">
        <v>3</v>
      </c>
    </row>
    <row r="47" spans="1:4" x14ac:dyDescent="0.3">
      <c r="A47" t="s">
        <v>8</v>
      </c>
      <c r="B47">
        <v>3062</v>
      </c>
      <c r="C47">
        <v>1814</v>
      </c>
      <c r="D47">
        <v>70</v>
      </c>
    </row>
    <row r="48" spans="1:4" x14ac:dyDescent="0.3">
      <c r="A48" t="s">
        <v>9</v>
      </c>
      <c r="B48">
        <v>1064</v>
      </c>
      <c r="C48">
        <v>-603</v>
      </c>
      <c r="D48">
        <v>72</v>
      </c>
    </row>
    <row r="49" spans="1:4" x14ac:dyDescent="0.3">
      <c r="A49" t="s">
        <v>8</v>
      </c>
      <c r="B49">
        <v>9006</v>
      </c>
      <c r="C49">
        <v>-130</v>
      </c>
      <c r="D49">
        <v>27</v>
      </c>
    </row>
    <row r="50" spans="1:4" x14ac:dyDescent="0.3">
      <c r="A50" t="s">
        <v>6</v>
      </c>
      <c r="B50">
        <v>3568</v>
      </c>
      <c r="C50">
        <v>1842</v>
      </c>
      <c r="D50">
        <v>9</v>
      </c>
    </row>
    <row r="51" spans="1:4" x14ac:dyDescent="0.3">
      <c r="A51" t="s">
        <v>8</v>
      </c>
      <c r="B51">
        <v>6463</v>
      </c>
      <c r="C51">
        <v>-608</v>
      </c>
      <c r="D5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Functions</vt:lpstr>
      <vt:lpstr>Statistical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 Jain</dc:creator>
  <cp:lastModifiedBy>Anuj Kumar Jain</cp:lastModifiedBy>
  <dcterms:created xsi:type="dcterms:W3CDTF">2025-06-18T06:11:53Z</dcterms:created>
  <dcterms:modified xsi:type="dcterms:W3CDTF">2026-06-30T05:29:16Z</dcterms:modified>
</cp:coreProperties>
</file>